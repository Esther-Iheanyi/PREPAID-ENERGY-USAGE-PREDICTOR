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F1C67CE-C9D5-40E1-BFF0-457F81B2DFBB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Energy Calculator" sheetId="1" r:id="rId1"/>
    <sheet name="Reference" sheetId="2" r:id="rId2"/>
    <sheet name="Household Energy usage" sheetId="3" r:id="rId3"/>
  </sheets>
  <definedNames>
    <definedName name="_xleta.DAY" hidden="1" xlm="1">#NAME?</definedName>
    <definedName name="_xleta.DAYS" hidden="1" xlm="1">#NAME?</definedName>
    <definedName name="_xleta.T" hidden="1" xlm="1">#NAME?</definedName>
    <definedName name="ApplianceTable">Reference!A2:B11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2" i="1"/>
  <c r="F11" i="1"/>
  <c r="F9" i="1"/>
  <c r="F8" i="1"/>
  <c r="F7" i="1"/>
  <c r="F6" i="1"/>
  <c r="F5" i="1"/>
  <c r="F4" i="1"/>
  <c r="F3" i="1"/>
  <c r="F13" i="1" l="1"/>
</calcChain>
</file>

<file path=xl/sharedStrings.xml><?xml version="1.0" encoding="utf-8"?>
<sst xmlns="http://schemas.openxmlformats.org/spreadsheetml/2006/main" count="100" uniqueCount="55">
  <si>
    <t>#</t>
  </si>
  <si>
    <t>Appliance</t>
  </si>
  <si>
    <t>Power Rating (W)</t>
  </si>
  <si>
    <t>Quantity</t>
  </si>
  <si>
    <t>Hours Used/Day</t>
  </si>
  <si>
    <t>Energy Used (kWh)</t>
  </si>
  <si>
    <t>Total:</t>
  </si>
  <si>
    <t>Units Purchased:</t>
  </si>
  <si>
    <t>Fan</t>
  </si>
  <si>
    <t>TV</t>
  </si>
  <si>
    <t>Fridge</t>
  </si>
  <si>
    <t>Air Conditioner</t>
  </si>
  <si>
    <t>Bulb</t>
  </si>
  <si>
    <t>Iron</t>
  </si>
  <si>
    <t>Microwave</t>
  </si>
  <si>
    <t>Laptop</t>
  </si>
  <si>
    <t>Washing Machine</t>
  </si>
  <si>
    <t>Heater</t>
  </si>
  <si>
    <t>Appliance Name</t>
  </si>
  <si>
    <t>Category</t>
  </si>
  <si>
    <t>Hours Used Per Day</t>
  </si>
  <si>
    <t>Daily Energy Usage (kWh)</t>
  </si>
  <si>
    <t>Laundry</t>
  </si>
  <si>
    <t>Blender</t>
  </si>
  <si>
    <t>Kitchen</t>
  </si>
  <si>
    <t>Toaster</t>
  </si>
  <si>
    <t>Desktop Computer</t>
  </si>
  <si>
    <t>Office</t>
  </si>
  <si>
    <t>Ceiling Fan</t>
  </si>
  <si>
    <t>Living Room</t>
  </si>
  <si>
    <t>Electric Kettle</t>
  </si>
  <si>
    <t>Electric Cooker</t>
  </si>
  <si>
    <t>Coffee Maker</t>
  </si>
  <si>
    <t>Water Dispenser</t>
  </si>
  <si>
    <t>Television</t>
  </si>
  <si>
    <t>Vacuum Cleaner</t>
  </si>
  <si>
    <t>Air Purifier</t>
  </si>
  <si>
    <t>Bedroom</t>
  </si>
  <si>
    <t>Router</t>
  </si>
  <si>
    <t>Security Camera</t>
  </si>
  <si>
    <t>Outdoor</t>
  </si>
  <si>
    <t>Projector</t>
  </si>
  <si>
    <t>Electric Grill</t>
  </si>
  <si>
    <t>Game Console</t>
  </si>
  <si>
    <t>Freezer</t>
  </si>
  <si>
    <t>Water Heater</t>
  </si>
  <si>
    <t>Bathroom</t>
  </si>
  <si>
    <t>Refrigerator</t>
  </si>
  <si>
    <t>Tablet</t>
  </si>
  <si>
    <t>Lamp</t>
  </si>
  <si>
    <t>Hair Dryer</t>
  </si>
  <si>
    <t>Printer</t>
  </si>
  <si>
    <t>Smart Speaker</t>
  </si>
  <si>
    <t>Phone Charger</t>
  </si>
  <si>
    <t>Sound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</si>
</sst>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center" vertical="top"/>
    </xf>
  </cellXfs>
  <cellStyles count="1">
    <cellStyle name="Normal" xfId="0" builtinId="0"/>
  </cellStyles>
  <dxfs count="3">
    <dxf>
      <border outline="0">
        <top style="thin">
          <color auto="1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15</xdr:row>
      <xdr:rowOff>7620</xdr:rowOff>
    </xdr:from>
    <xdr:to>
      <xdr:col>4</xdr:col>
      <xdr:colOff>1211580</xdr:colOff>
      <xdr:row>16</xdr:row>
      <xdr:rowOff>106680</xdr:rowOff>
    </xdr:to>
    <xdr:sp macro="[0]!ThisWorkbook.RunPythonScript" textlink="">
      <xdr:nvSpPr>
        <xdr:cNvPr id="2" name="Rectangle 1">
          <a:extLst>
            <a:ext uri="{FF2B5EF4-FFF2-40B4-BE49-F238E27FC236}">
              <a16:creationId xmlns:a16="http://schemas.microsoft.com/office/drawing/2014/main" id="{E55BBE40-CF79-DEF0-9197-474C107A3B55}"/>
            </a:ext>
          </a:extLst>
        </xdr:cNvPr>
        <xdr:cNvSpPr/>
      </xdr:nvSpPr>
      <xdr:spPr>
        <a:xfrm>
          <a:off x="3810000" y="2750820"/>
          <a:ext cx="1173480" cy="28194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PREDICT</a:t>
          </a:r>
          <a:r>
            <a:rPr lang="en-US" sz="1200" b="1" baseline="0">
              <a:solidFill>
                <a:schemeClr val="tx1"/>
              </a:solidFill>
            </a:rPr>
            <a:t> DAYS 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53340</xdr:colOff>
      <xdr:row>17</xdr:row>
      <xdr:rowOff>160020</xdr:rowOff>
    </xdr:from>
    <xdr:to>
      <xdr:col>5</xdr:col>
      <xdr:colOff>15240</xdr:colOff>
      <xdr:row>19</xdr:row>
      <xdr:rowOff>129540</xdr:rowOff>
    </xdr:to>
    <xdr:sp macro="[0]!ThisWorkbook.ExportPredictionToPDF" textlink="">
      <xdr:nvSpPr>
        <xdr:cNvPr id="3" name="Rectangle 2">
          <a:extLst>
            <a:ext uri="{FF2B5EF4-FFF2-40B4-BE49-F238E27FC236}">
              <a16:creationId xmlns:a16="http://schemas.microsoft.com/office/drawing/2014/main" id="{221768F4-91CB-D312-53E0-670ED97D1FC6}"/>
            </a:ext>
          </a:extLst>
        </xdr:cNvPr>
        <xdr:cNvSpPr/>
      </xdr:nvSpPr>
      <xdr:spPr>
        <a:xfrm>
          <a:off x="3825240" y="3268980"/>
          <a:ext cx="1196340" cy="33528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EXPORT AS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C664F-5FF5-4568-8EC7-64ED07144F55}" name="Table1" displayName="Table1" ref="A1:F33" totalsRowShown="0" headerRowDxfId="2" headerRowBorderDxfId="1" tableBorderDxfId="0">
  <autoFilter ref="A1:F33" xr:uid="{D58C664F-5FF5-4568-8EC7-64ED07144F55}"/>
  <tableColumns count="6">
    <tableColumn id="1" xr3:uid="{AB6CC826-E616-4677-8EBA-DA60E4F03F38}" name="Appliance Name"/>
    <tableColumn id="2" xr3:uid="{4AB82672-0628-4BAC-901D-5BD89C0BBB4B}" name="Category"/>
    <tableColumn id="3" xr3:uid="{BD6E9C20-DD01-4BAF-8E75-A6C7D008BDA9}" name="Power Rating (W)"/>
    <tableColumn id="4" xr3:uid="{CF260C9B-4BB2-433C-A63C-109FD219631B}" name="Quantity"/>
    <tableColumn id="5" xr3:uid="{C3B5D104-D148-414C-A4B8-53285B075FD5}" name="Hours Used Per Day"/>
    <tableColumn id="6" xr3:uid="{11DDD2DD-CDB9-470B-953E-F0375E366035}" name="Daily Energy Usage (kWh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"/>
  <sheetViews>
    <sheetView tabSelected="1" workbookViewId="0">
      <selection activeCell="F16" sqref="F16"/>
    </sheetView>
  </sheetViews>
  <sheetFormatPr defaultRowHeight="14.4" x14ac:dyDescent="0.3"/>
  <cols>
    <col min="1" max="1" width="5" customWidth="1"/>
    <col min="2" max="3" width="20" customWidth="1"/>
    <col min="4" max="4" width="10" customWidth="1"/>
    <col min="5" max="5" width="18" customWidth="1"/>
    <col min="6" max="6" width="20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>
        <v>1</v>
      </c>
      <c r="B2" t="s">
        <v>9</v>
      </c>
      <c r="C2">
        <v>200</v>
      </c>
      <c r="D2">
        <v>1</v>
      </c>
      <c r="E2">
        <v>2</v>
      </c>
      <c r="F2">
        <f>IF(AND(C2&lt;&gt;"",D2&lt;&gt;"",E2&lt;&gt;""), C2*D2*E2/1000, "")</f>
        <v>0.4</v>
      </c>
    </row>
    <row r="3" spans="1:6" x14ac:dyDescent="0.3">
      <c r="A3">
        <v>2</v>
      </c>
      <c r="B3" t="s">
        <v>10</v>
      </c>
      <c r="C3">
        <v>100</v>
      </c>
      <c r="D3">
        <v>2</v>
      </c>
      <c r="E3">
        <v>4</v>
      </c>
      <c r="F3">
        <f t="shared" ref="F3:F11" si="0">IF(AND(C3&lt;&gt;"",D3&lt;&gt;"",E3&lt;&gt;""), C3*D3*E3/1000, "")</f>
        <v>0.8</v>
      </c>
    </row>
    <row r="4" spans="1:6" x14ac:dyDescent="0.3">
      <c r="A4">
        <v>3</v>
      </c>
      <c r="B4" t="s">
        <v>11</v>
      </c>
      <c r="C4">
        <v>2000</v>
      </c>
      <c r="D4">
        <v>1</v>
      </c>
      <c r="E4">
        <v>2</v>
      </c>
      <c r="F4">
        <f t="shared" si="0"/>
        <v>4</v>
      </c>
    </row>
    <row r="5" spans="1:6" x14ac:dyDescent="0.3">
      <c r="A5">
        <v>4</v>
      </c>
      <c r="B5" t="s">
        <v>8</v>
      </c>
      <c r="C5">
        <v>100</v>
      </c>
      <c r="D5">
        <v>1</v>
      </c>
      <c r="E5">
        <v>2</v>
      </c>
      <c r="F5">
        <f t="shared" si="0"/>
        <v>0.2</v>
      </c>
    </row>
    <row r="6" spans="1:6" x14ac:dyDescent="0.3">
      <c r="A6">
        <v>5</v>
      </c>
      <c r="B6" t="s">
        <v>13</v>
      </c>
      <c r="C6">
        <v>1500</v>
      </c>
      <c r="D6">
        <v>1</v>
      </c>
      <c r="E6">
        <v>0</v>
      </c>
      <c r="F6">
        <f t="shared" si="0"/>
        <v>0</v>
      </c>
    </row>
    <row r="7" spans="1:6" x14ac:dyDescent="0.3">
      <c r="A7">
        <v>6</v>
      </c>
      <c r="B7" t="s">
        <v>12</v>
      </c>
      <c r="C7">
        <v>50</v>
      </c>
      <c r="D7">
        <v>1</v>
      </c>
      <c r="E7">
        <v>4</v>
      </c>
      <c r="F7">
        <f t="shared" si="0"/>
        <v>0.2</v>
      </c>
    </row>
    <row r="8" spans="1:6" x14ac:dyDescent="0.3">
      <c r="A8">
        <v>7</v>
      </c>
      <c r="B8" t="s">
        <v>16</v>
      </c>
      <c r="C8">
        <v>2000</v>
      </c>
      <c r="D8">
        <v>1</v>
      </c>
      <c r="E8">
        <v>1</v>
      </c>
      <c r="F8">
        <f t="shared" si="0"/>
        <v>2</v>
      </c>
    </row>
    <row r="9" spans="1:6" x14ac:dyDescent="0.3">
      <c r="A9">
        <v>8</v>
      </c>
      <c r="B9" t="s">
        <v>15</v>
      </c>
      <c r="C9">
        <v>100</v>
      </c>
      <c r="D9">
        <v>1</v>
      </c>
      <c r="E9">
        <v>1</v>
      </c>
      <c r="F9">
        <f t="shared" si="0"/>
        <v>0.1</v>
      </c>
    </row>
    <row r="10" spans="1:6" x14ac:dyDescent="0.3">
      <c r="A10">
        <v>9</v>
      </c>
      <c r="B10" t="s">
        <v>16</v>
      </c>
      <c r="C10">
        <v>2000</v>
      </c>
      <c r="D10">
        <v>2</v>
      </c>
      <c r="E10">
        <v>1</v>
      </c>
      <c r="F10">
        <f t="shared" si="0"/>
        <v>4</v>
      </c>
    </row>
    <row r="11" spans="1:6" x14ac:dyDescent="0.3">
      <c r="A11">
        <v>10</v>
      </c>
      <c r="B11" t="s">
        <v>8</v>
      </c>
      <c r="C11">
        <v>100</v>
      </c>
      <c r="D11">
        <v>1</v>
      </c>
      <c r="E11">
        <v>0</v>
      </c>
      <c r="F11">
        <f t="shared" si="0"/>
        <v>0</v>
      </c>
    </row>
    <row r="13" spans="1:6" x14ac:dyDescent="0.3">
      <c r="E13" s="2" t="s">
        <v>6</v>
      </c>
      <c r="F13" s="2">
        <f>SUM(F2:F11)</f>
        <v>11.7</v>
      </c>
    </row>
    <row r="15" spans="1:6" x14ac:dyDescent="0.3">
      <c r="E15" t="s">
        <v>7</v>
      </c>
      <c r="F15">
        <v>300</v>
      </c>
    </row>
  </sheetData>
  <dataValidations count="1">
    <dataValidation type="list" allowBlank="1" showInputMessage="1" showErrorMessage="1" sqref="B2 B3 B4 B5 B6 B7 B8 B9 B10 B11" xr:uid="{00000000-0002-0000-0000-000000000000}">
      <formula1>"Fan,TV,Fridge,Air Conditioner,Bulb,Iron,Microwave,Laptop,Washing Machine,Heater"</formula1>
    </dataValidation>
  </dataValidation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1"/>
  <sheetViews>
    <sheetView workbookViewId="0">
      <selection activeCell="B2" sqref="B2"/>
    </sheetView>
  </sheetViews>
  <sheetFormatPr defaultRowHeight="14.4" x14ac:dyDescent="0.3"/>
  <sheetData>
    <row r="1" spans="1:2" x14ac:dyDescent="0.3">
      <c r="A1" t="s">
        <v>1</v>
      </c>
      <c r="B1" t="s">
        <v>2</v>
      </c>
    </row>
    <row r="2" spans="1:2" x14ac:dyDescent="0.3">
      <c r="A2" t="s">
        <v>8</v>
      </c>
      <c r="B2">
        <v>75</v>
      </c>
    </row>
    <row r="3" spans="1:2" x14ac:dyDescent="0.3">
      <c r="A3" t="s">
        <v>9</v>
      </c>
      <c r="B3">
        <v>100</v>
      </c>
    </row>
    <row r="4" spans="1:2" x14ac:dyDescent="0.3">
      <c r="A4" t="s">
        <v>10</v>
      </c>
      <c r="B4">
        <v>150</v>
      </c>
    </row>
    <row r="5" spans="1:2" x14ac:dyDescent="0.3">
      <c r="A5" t="s">
        <v>11</v>
      </c>
      <c r="B5">
        <v>1500</v>
      </c>
    </row>
    <row r="6" spans="1:2" x14ac:dyDescent="0.3">
      <c r="A6" t="s">
        <v>12</v>
      </c>
      <c r="B6">
        <v>60</v>
      </c>
    </row>
    <row r="7" spans="1:2" x14ac:dyDescent="0.3">
      <c r="A7" t="s">
        <v>13</v>
      </c>
      <c r="B7">
        <v>1000</v>
      </c>
    </row>
    <row r="8" spans="1:2" x14ac:dyDescent="0.3">
      <c r="A8" t="s">
        <v>14</v>
      </c>
      <c r="B8">
        <v>1200</v>
      </c>
    </row>
    <row r="9" spans="1:2" x14ac:dyDescent="0.3">
      <c r="A9" t="s">
        <v>15</v>
      </c>
      <c r="B9">
        <v>50</v>
      </c>
    </row>
    <row r="10" spans="1:2" x14ac:dyDescent="0.3">
      <c r="A10" t="s">
        <v>16</v>
      </c>
      <c r="B10">
        <v>500</v>
      </c>
    </row>
    <row r="11" spans="1:2" x14ac:dyDescent="0.3">
      <c r="A11" t="s">
        <v>17</v>
      </c>
      <c r="B11">
        <v>2000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AC4A-A3A5-45EC-8C9B-F1575719C718}">
  <dimension ref="A1:F33"/>
  <sheetViews>
    <sheetView topLeftCell="A2" workbookViewId="0">
      <selection activeCell="B3" sqref="B3"/>
    </sheetView>
  </sheetViews>
  <sheetFormatPr defaultRowHeight="14.4" x14ac:dyDescent="0.3"/>
  <cols>
    <col min="1" max="1" width="16.6640625" customWidth="1"/>
    <col min="2" max="2" width="10.88671875" bestFit="1" customWidth="1"/>
    <col min="3" max="3" width="17.5546875" customWidth="1"/>
    <col min="4" max="4" width="10.21875" customWidth="1"/>
    <col min="5" max="5" width="19.33203125" customWidth="1"/>
    <col min="6" max="6" width="24.44140625" customWidth="1"/>
  </cols>
  <sheetData>
    <row r="1" spans="1:6" x14ac:dyDescent="0.3">
      <c r="A1" s="3" t="s">
        <v>18</v>
      </c>
      <c r="B1" s="3" t="s">
        <v>19</v>
      </c>
      <c r="C1" s="3" t="s">
        <v>2</v>
      </c>
      <c r="D1" s="3" t="s">
        <v>3</v>
      </c>
      <c r="E1" s="3" t="s">
        <v>20</v>
      </c>
      <c r="F1" s="3" t="s">
        <v>21</v>
      </c>
    </row>
    <row r="2" spans="1:6" x14ac:dyDescent="0.3">
      <c r="A2" t="s">
        <v>13</v>
      </c>
      <c r="B2" t="s">
        <v>22</v>
      </c>
      <c r="C2">
        <v>1000</v>
      </c>
      <c r="D2">
        <v>1</v>
      </c>
      <c r="E2">
        <v>3.6</v>
      </c>
      <c r="F2">
        <v>3.6</v>
      </c>
    </row>
    <row r="3" spans="1:6" x14ac:dyDescent="0.3">
      <c r="A3" t="s">
        <v>23</v>
      </c>
      <c r="B3" t="s">
        <v>24</v>
      </c>
      <c r="C3">
        <v>500</v>
      </c>
      <c r="D3">
        <v>3</v>
      </c>
      <c r="E3">
        <v>7.8</v>
      </c>
      <c r="F3">
        <v>11.7</v>
      </c>
    </row>
    <row r="4" spans="1:6" x14ac:dyDescent="0.3">
      <c r="A4" t="s">
        <v>25</v>
      </c>
      <c r="B4" t="s">
        <v>24</v>
      </c>
      <c r="C4">
        <v>800</v>
      </c>
      <c r="D4">
        <v>3</v>
      </c>
      <c r="E4">
        <v>7.5</v>
      </c>
      <c r="F4">
        <v>18</v>
      </c>
    </row>
    <row r="5" spans="1:6" x14ac:dyDescent="0.3">
      <c r="A5" t="s">
        <v>26</v>
      </c>
      <c r="B5" t="s">
        <v>27</v>
      </c>
      <c r="C5">
        <v>250</v>
      </c>
      <c r="D5">
        <v>2</v>
      </c>
      <c r="E5">
        <v>6.2</v>
      </c>
      <c r="F5">
        <v>3.1</v>
      </c>
    </row>
    <row r="6" spans="1:6" x14ac:dyDescent="0.3">
      <c r="A6" t="s">
        <v>28</v>
      </c>
      <c r="B6" t="s">
        <v>29</v>
      </c>
      <c r="C6">
        <v>75</v>
      </c>
      <c r="D6">
        <v>1</v>
      </c>
      <c r="E6">
        <v>4.5</v>
      </c>
      <c r="F6">
        <v>0.34</v>
      </c>
    </row>
    <row r="7" spans="1:6" x14ac:dyDescent="0.3">
      <c r="A7" t="s">
        <v>30</v>
      </c>
      <c r="B7" t="s">
        <v>24</v>
      </c>
      <c r="C7">
        <v>2000</v>
      </c>
      <c r="D7">
        <v>1</v>
      </c>
      <c r="E7">
        <v>5</v>
      </c>
      <c r="F7">
        <v>10</v>
      </c>
    </row>
    <row r="8" spans="1:6" x14ac:dyDescent="0.3">
      <c r="A8" t="s">
        <v>31</v>
      </c>
      <c r="B8" t="s">
        <v>24</v>
      </c>
      <c r="C8">
        <v>2200</v>
      </c>
      <c r="D8">
        <v>2</v>
      </c>
      <c r="E8">
        <v>5.5</v>
      </c>
      <c r="F8">
        <v>24.2</v>
      </c>
    </row>
    <row r="9" spans="1:6" x14ac:dyDescent="0.3">
      <c r="A9" t="s">
        <v>32</v>
      </c>
      <c r="B9" t="s">
        <v>24</v>
      </c>
      <c r="C9">
        <v>1000</v>
      </c>
      <c r="D9">
        <v>3</v>
      </c>
      <c r="E9">
        <v>1.6</v>
      </c>
      <c r="F9">
        <v>4.8</v>
      </c>
    </row>
    <row r="10" spans="1:6" x14ac:dyDescent="0.3">
      <c r="A10" t="s">
        <v>33</v>
      </c>
      <c r="B10" t="s">
        <v>24</v>
      </c>
      <c r="C10">
        <v>100</v>
      </c>
      <c r="D10">
        <v>1</v>
      </c>
      <c r="E10">
        <v>7.6</v>
      </c>
      <c r="F10">
        <v>0.76</v>
      </c>
    </row>
    <row r="11" spans="1:6" x14ac:dyDescent="0.3">
      <c r="A11" t="s">
        <v>34</v>
      </c>
      <c r="B11" t="s">
        <v>29</v>
      </c>
      <c r="C11">
        <v>100</v>
      </c>
      <c r="D11">
        <v>3</v>
      </c>
      <c r="E11">
        <v>8</v>
      </c>
      <c r="F11">
        <v>2.4</v>
      </c>
    </row>
    <row r="12" spans="1:6" x14ac:dyDescent="0.3">
      <c r="A12" t="s">
        <v>35</v>
      </c>
      <c r="B12" t="s">
        <v>29</v>
      </c>
      <c r="C12">
        <v>1000</v>
      </c>
      <c r="D12">
        <v>1</v>
      </c>
      <c r="E12">
        <v>4.3</v>
      </c>
      <c r="F12">
        <v>4.3</v>
      </c>
    </row>
    <row r="13" spans="1:6" x14ac:dyDescent="0.3">
      <c r="A13" t="s">
        <v>36</v>
      </c>
      <c r="B13" t="s">
        <v>37</v>
      </c>
      <c r="C13">
        <v>50</v>
      </c>
      <c r="D13">
        <v>2</v>
      </c>
      <c r="E13">
        <v>1.5</v>
      </c>
      <c r="F13">
        <v>0.15</v>
      </c>
    </row>
    <row r="14" spans="1:6" x14ac:dyDescent="0.3">
      <c r="A14" t="s">
        <v>38</v>
      </c>
      <c r="B14" t="s">
        <v>27</v>
      </c>
      <c r="C14">
        <v>15</v>
      </c>
      <c r="D14">
        <v>3</v>
      </c>
      <c r="E14">
        <v>3.5</v>
      </c>
      <c r="F14">
        <v>0.16</v>
      </c>
    </row>
    <row r="15" spans="1:6" x14ac:dyDescent="0.3">
      <c r="A15" t="s">
        <v>39</v>
      </c>
      <c r="B15" t="s">
        <v>40</v>
      </c>
      <c r="C15">
        <v>10</v>
      </c>
      <c r="D15">
        <v>3</v>
      </c>
      <c r="E15">
        <v>8.5</v>
      </c>
      <c r="F15">
        <v>0.26</v>
      </c>
    </row>
    <row r="16" spans="1:6" x14ac:dyDescent="0.3">
      <c r="A16" t="s">
        <v>41</v>
      </c>
      <c r="B16" t="s">
        <v>27</v>
      </c>
      <c r="C16">
        <v>300</v>
      </c>
      <c r="D16">
        <v>3</v>
      </c>
      <c r="E16">
        <v>8.8000000000000007</v>
      </c>
      <c r="F16">
        <v>7.92</v>
      </c>
    </row>
    <row r="17" spans="1:6" x14ac:dyDescent="0.3">
      <c r="A17" t="s">
        <v>11</v>
      </c>
      <c r="B17" t="s">
        <v>29</v>
      </c>
      <c r="C17">
        <v>1500</v>
      </c>
      <c r="D17">
        <v>1</v>
      </c>
      <c r="E17">
        <v>4.8</v>
      </c>
      <c r="F17">
        <v>7.2</v>
      </c>
    </row>
    <row r="18" spans="1:6" x14ac:dyDescent="0.3">
      <c r="A18" t="s">
        <v>15</v>
      </c>
      <c r="B18" t="s">
        <v>27</v>
      </c>
      <c r="C18">
        <v>65</v>
      </c>
      <c r="D18">
        <v>3</v>
      </c>
      <c r="E18">
        <v>3.2</v>
      </c>
      <c r="F18">
        <v>0.62</v>
      </c>
    </row>
    <row r="19" spans="1:6" x14ac:dyDescent="0.3">
      <c r="A19" t="s">
        <v>16</v>
      </c>
      <c r="B19" t="s">
        <v>22</v>
      </c>
      <c r="C19">
        <v>500</v>
      </c>
      <c r="D19">
        <v>1</v>
      </c>
      <c r="E19">
        <v>3.5</v>
      </c>
      <c r="F19">
        <v>1.75</v>
      </c>
    </row>
    <row r="20" spans="1:6" x14ac:dyDescent="0.3">
      <c r="A20" t="s">
        <v>42</v>
      </c>
      <c r="B20" t="s">
        <v>24</v>
      </c>
      <c r="C20">
        <v>1800</v>
      </c>
      <c r="D20">
        <v>3</v>
      </c>
      <c r="E20">
        <v>3.7</v>
      </c>
      <c r="F20">
        <v>19.98</v>
      </c>
    </row>
    <row r="21" spans="1:6" x14ac:dyDescent="0.3">
      <c r="A21" t="s">
        <v>43</v>
      </c>
      <c r="B21" t="s">
        <v>29</v>
      </c>
      <c r="C21">
        <v>200</v>
      </c>
      <c r="D21">
        <v>2</v>
      </c>
      <c r="E21">
        <v>3.1</v>
      </c>
      <c r="F21">
        <v>1.24</v>
      </c>
    </row>
    <row r="22" spans="1:6" x14ac:dyDescent="0.3">
      <c r="A22" t="s">
        <v>44</v>
      </c>
      <c r="B22" t="s">
        <v>24</v>
      </c>
      <c r="C22">
        <v>200</v>
      </c>
      <c r="D22">
        <v>2</v>
      </c>
      <c r="E22">
        <v>1.5</v>
      </c>
      <c r="F22">
        <v>0.6</v>
      </c>
    </row>
    <row r="23" spans="1:6" x14ac:dyDescent="0.3">
      <c r="A23" t="s">
        <v>17</v>
      </c>
      <c r="B23" t="s">
        <v>29</v>
      </c>
      <c r="C23">
        <v>2000</v>
      </c>
      <c r="D23">
        <v>1</v>
      </c>
      <c r="E23">
        <v>4.8</v>
      </c>
      <c r="F23">
        <v>9.6</v>
      </c>
    </row>
    <row r="24" spans="1:6" x14ac:dyDescent="0.3">
      <c r="A24" t="s">
        <v>45</v>
      </c>
      <c r="B24" t="s">
        <v>46</v>
      </c>
      <c r="C24">
        <v>3000</v>
      </c>
      <c r="D24">
        <v>3</v>
      </c>
      <c r="E24">
        <v>5.4</v>
      </c>
      <c r="F24">
        <v>48.6</v>
      </c>
    </row>
    <row r="25" spans="1:6" x14ac:dyDescent="0.3">
      <c r="A25" t="s">
        <v>14</v>
      </c>
      <c r="B25" t="s">
        <v>24</v>
      </c>
      <c r="C25">
        <v>1200</v>
      </c>
      <c r="D25">
        <v>2</v>
      </c>
      <c r="E25">
        <v>3</v>
      </c>
      <c r="F25">
        <v>7.2</v>
      </c>
    </row>
    <row r="26" spans="1:6" x14ac:dyDescent="0.3">
      <c r="A26" t="s">
        <v>47</v>
      </c>
      <c r="B26" t="s">
        <v>24</v>
      </c>
      <c r="C26">
        <v>150</v>
      </c>
      <c r="D26">
        <v>1</v>
      </c>
      <c r="E26">
        <v>8</v>
      </c>
      <c r="F26">
        <v>1.2</v>
      </c>
    </row>
    <row r="27" spans="1:6" x14ac:dyDescent="0.3">
      <c r="A27" t="s">
        <v>48</v>
      </c>
      <c r="B27" t="s">
        <v>37</v>
      </c>
      <c r="C27">
        <v>10</v>
      </c>
      <c r="D27">
        <v>3</v>
      </c>
      <c r="E27">
        <v>4.5999999999999996</v>
      </c>
      <c r="F27">
        <v>0.14000000000000001</v>
      </c>
    </row>
    <row r="28" spans="1:6" x14ac:dyDescent="0.3">
      <c r="A28" t="s">
        <v>49</v>
      </c>
      <c r="B28" t="s">
        <v>37</v>
      </c>
      <c r="C28">
        <v>40</v>
      </c>
      <c r="D28">
        <v>1</v>
      </c>
      <c r="E28">
        <v>3.7</v>
      </c>
      <c r="F28">
        <v>0.15</v>
      </c>
    </row>
    <row r="29" spans="1:6" x14ac:dyDescent="0.3">
      <c r="A29" t="s">
        <v>50</v>
      </c>
      <c r="B29" t="s">
        <v>46</v>
      </c>
      <c r="C29">
        <v>1200</v>
      </c>
      <c r="D29">
        <v>1</v>
      </c>
      <c r="E29">
        <v>3.9</v>
      </c>
      <c r="F29">
        <v>4.68</v>
      </c>
    </row>
    <row r="30" spans="1:6" x14ac:dyDescent="0.3">
      <c r="A30" t="s">
        <v>51</v>
      </c>
      <c r="B30" t="s">
        <v>27</v>
      </c>
      <c r="C30">
        <v>450</v>
      </c>
      <c r="D30">
        <v>1</v>
      </c>
      <c r="E30">
        <v>8</v>
      </c>
      <c r="F30">
        <v>3.6</v>
      </c>
    </row>
    <row r="31" spans="1:6" x14ac:dyDescent="0.3">
      <c r="A31" t="s">
        <v>52</v>
      </c>
      <c r="B31" t="s">
        <v>29</v>
      </c>
      <c r="C31">
        <v>20</v>
      </c>
      <c r="D31">
        <v>2</v>
      </c>
      <c r="E31">
        <v>4.5</v>
      </c>
      <c r="F31">
        <v>0.18</v>
      </c>
    </row>
    <row r="32" spans="1:6" x14ac:dyDescent="0.3">
      <c r="A32" t="s">
        <v>53</v>
      </c>
      <c r="B32" t="s">
        <v>37</v>
      </c>
      <c r="C32">
        <v>5</v>
      </c>
      <c r="D32">
        <v>2</v>
      </c>
      <c r="E32">
        <v>6.6</v>
      </c>
      <c r="F32">
        <v>7.0000000000000007E-2</v>
      </c>
    </row>
    <row r="33" spans="1:6" x14ac:dyDescent="0.3">
      <c r="A33" t="s">
        <v>54</v>
      </c>
      <c r="B33" t="s">
        <v>29</v>
      </c>
      <c r="C33">
        <v>150</v>
      </c>
      <c r="D33">
        <v>3</v>
      </c>
      <c r="E33">
        <v>8.5</v>
      </c>
      <c r="F33">
        <v>3.83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Energy Calculator</vt:lpstr>
      <vt:lpstr>Reference</vt:lpstr>
      <vt:lpstr>Household Energy usage</vt:lpstr>
      <vt:lpstr>ApplianceTable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Chinyere Iheanyi</cp:lastModifiedBy>
  <dcterms:created xsi:type="dcterms:W3CDTF">2025-07-16T10:56:39Z</dcterms:created>
  <dcterms:modified xsi:type="dcterms:W3CDTF">2025-07-21T16:11:49Z</dcterms:modified>
</cp:coreProperties>
</file>